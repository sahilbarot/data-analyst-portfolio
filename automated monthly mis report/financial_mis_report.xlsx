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22A05A"/>
      <sz val="10"/>
    </font>
    <font>
      <name val="Arial"/>
      <color rgb="00C0392B"/>
      <sz val="10"/>
    </font>
  </fonts>
  <fills count="7">
    <fill>
      <patternFill/>
    </fill>
    <fill>
      <patternFill patternType="gray125"/>
    </fill>
    <fill>
      <patternFill patternType="solid">
        <fgColor rgb="001E4D2B"/>
      </patternFill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1" customWidth="1" min="5" max="5"/>
    <col width="11" customWidth="1" min="6" max="6"/>
    <col width="13" customWidth="1" min="7" max="7"/>
    <col width="12" customWidth="1" min="8" max="8"/>
    <col width="13" customWidth="1" min="9" max="9"/>
    <col width="16" customWidth="1" min="10" max="10"/>
  </cols>
  <sheetData>
    <row r="1" ht="30" customHeight="1">
      <c r="A1" s="1" t="inlineStr">
        <is>
          <t>ANNUAL FINANCIAL MIS REPORT — FY 2026</t>
        </is>
      </c>
    </row>
    <row r="2" ht="16" customHeight="1">
      <c r="A2" s="2" t="inlineStr">
        <is>
          <t>Revenue: Rs 61,900,000  |  Profit: Rs 18,100,000  |  Avg Margin: 28.9%  |  Best: Dec  |  Worst: Feb</t>
        </is>
      </c>
    </row>
    <row r="3" ht="20" customHeight="1">
      <c r="A3" s="3" t="inlineStr">
        <is>
          <t>Month</t>
        </is>
      </c>
      <c r="B3" s="3" t="inlineStr">
        <is>
          <t>Revenue</t>
        </is>
      </c>
      <c r="C3" s="3" t="inlineStr">
        <is>
          <t>Expenses</t>
        </is>
      </c>
      <c r="D3" s="3" t="inlineStr">
        <is>
          <t>Net Profit</t>
        </is>
      </c>
      <c r="E3" s="3" t="inlineStr">
        <is>
          <t>Margin %</t>
        </is>
      </c>
      <c r="F3" s="3" t="inlineStr">
        <is>
          <t>Expense %</t>
        </is>
      </c>
      <c r="G3" s="3" t="inlineStr">
        <is>
          <t>Rev/Head</t>
        </is>
      </c>
      <c r="H3" s="3" t="inlineStr">
        <is>
          <t>Rev MOM%</t>
        </is>
      </c>
      <c r="I3" s="3" t="inlineStr">
        <is>
          <t>Profit MOM%</t>
        </is>
      </c>
      <c r="J3" s="3" t="inlineStr">
        <is>
          <t>YTD Revenue</t>
        </is>
      </c>
    </row>
    <row r="4" ht="17" customHeight="1">
      <c r="A4" s="4" t="inlineStr">
        <is>
          <t>Jan</t>
        </is>
      </c>
      <c r="B4" s="5" t="n">
        <v>4200000</v>
      </c>
      <c r="C4" s="5" t="n">
        <v>3100000</v>
      </c>
      <c r="D4" s="5" t="n">
        <v>1100000</v>
      </c>
      <c r="E4" s="6" t="n">
        <v>26.2</v>
      </c>
      <c r="F4" s="7" t="n">
        <v>73.8</v>
      </c>
      <c r="G4" s="5" t="n">
        <v>93333</v>
      </c>
      <c r="H4" s="7" t="n">
        <v/>
      </c>
      <c r="I4" s="7" t="n">
        <v/>
      </c>
      <c r="J4" s="5" t="n">
        <v>4200000</v>
      </c>
    </row>
    <row r="5" ht="17" customHeight="1">
      <c r="A5" s="8" t="inlineStr">
        <is>
          <t>Feb</t>
        </is>
      </c>
      <c r="B5" s="9" t="n">
        <v>3800000</v>
      </c>
      <c r="C5" s="9" t="n">
        <v>2900000</v>
      </c>
      <c r="D5" s="9" t="n">
        <v>900000</v>
      </c>
      <c r="E5" s="10" t="n">
        <v>23.7</v>
      </c>
      <c r="F5" s="11" t="n">
        <v>76.3</v>
      </c>
      <c r="G5" s="9" t="n">
        <v>84444</v>
      </c>
      <c r="H5" s="12" t="n">
        <v>-9.5</v>
      </c>
      <c r="I5" s="12" t="n">
        <v>-18.2</v>
      </c>
      <c r="J5" s="9" t="n">
        <v>8000000</v>
      </c>
    </row>
    <row r="6" ht="17" customHeight="1">
      <c r="A6" s="4" t="inlineStr">
        <is>
          <t>Mar</t>
        </is>
      </c>
      <c r="B6" s="5" t="n">
        <v>4500000</v>
      </c>
      <c r="C6" s="5" t="n">
        <v>3300000</v>
      </c>
      <c r="D6" s="5" t="n">
        <v>1200000</v>
      </c>
      <c r="E6" s="6" t="n">
        <v>26.7</v>
      </c>
      <c r="F6" s="7" t="n">
        <v>73.3</v>
      </c>
      <c r="G6" s="5" t="n">
        <v>95745</v>
      </c>
      <c r="H6" s="6" t="n">
        <v>18.4</v>
      </c>
      <c r="I6" s="6" t="n">
        <v>33.3</v>
      </c>
      <c r="J6" s="5" t="n">
        <v>12500000</v>
      </c>
    </row>
    <row r="7" ht="17" customHeight="1">
      <c r="A7" s="8" t="inlineStr">
        <is>
          <t>Apr</t>
        </is>
      </c>
      <c r="B7" s="9" t="n">
        <v>5100000</v>
      </c>
      <c r="C7" s="9" t="n">
        <v>3600000</v>
      </c>
      <c r="D7" s="9" t="n">
        <v>1500000</v>
      </c>
      <c r="E7" s="10" t="n">
        <v>29.4</v>
      </c>
      <c r="F7" s="11" t="n">
        <v>70.59999999999999</v>
      </c>
      <c r="G7" s="9" t="n">
        <v>108511</v>
      </c>
      <c r="H7" s="10" t="n">
        <v>13.3</v>
      </c>
      <c r="I7" s="10" t="n">
        <v>25</v>
      </c>
      <c r="J7" s="9" t="n">
        <v>17600000</v>
      </c>
    </row>
    <row r="8" ht="17" customHeight="1">
      <c r="A8" s="4" t="inlineStr">
        <is>
          <t>May</t>
        </is>
      </c>
      <c r="B8" s="5" t="n">
        <v>4800000</v>
      </c>
      <c r="C8" s="5" t="n">
        <v>3400000</v>
      </c>
      <c r="D8" s="5" t="n">
        <v>1400000</v>
      </c>
      <c r="E8" s="6" t="n">
        <v>29.2</v>
      </c>
      <c r="F8" s="7" t="n">
        <v>70.8</v>
      </c>
      <c r="G8" s="5" t="n">
        <v>100000</v>
      </c>
      <c r="H8" s="13" t="n">
        <v>-5.9</v>
      </c>
      <c r="I8" s="13" t="n">
        <v>-6.7</v>
      </c>
      <c r="J8" s="5" t="n">
        <v>22400000</v>
      </c>
    </row>
    <row r="9" ht="17" customHeight="1">
      <c r="A9" s="8" t="inlineStr">
        <is>
          <t>Jun</t>
        </is>
      </c>
      <c r="B9" s="9" t="n">
        <v>5400000</v>
      </c>
      <c r="C9" s="9" t="n">
        <v>3800000</v>
      </c>
      <c r="D9" s="9" t="n">
        <v>1600000</v>
      </c>
      <c r="E9" s="10" t="n">
        <v>29.6</v>
      </c>
      <c r="F9" s="11" t="n">
        <v>70.40000000000001</v>
      </c>
      <c r="G9" s="9" t="n">
        <v>108000</v>
      </c>
      <c r="H9" s="10" t="n">
        <v>12.5</v>
      </c>
      <c r="I9" s="10" t="n">
        <v>14.3</v>
      </c>
      <c r="J9" s="9" t="n">
        <v>27800000</v>
      </c>
    </row>
    <row r="10" ht="17" customHeight="1">
      <c r="A10" s="4" t="inlineStr">
        <is>
          <t>Jul</t>
        </is>
      </c>
      <c r="B10" s="5" t="n">
        <v>5200000</v>
      </c>
      <c r="C10" s="5" t="n">
        <v>3700000</v>
      </c>
      <c r="D10" s="5" t="n">
        <v>1500000</v>
      </c>
      <c r="E10" s="6" t="n">
        <v>28.8</v>
      </c>
      <c r="F10" s="7" t="n">
        <v>71.2</v>
      </c>
      <c r="G10" s="5" t="n">
        <v>104000</v>
      </c>
      <c r="H10" s="13" t="n">
        <v>-3.7</v>
      </c>
      <c r="I10" s="13" t="n">
        <v>-6.2</v>
      </c>
      <c r="J10" s="5" t="n">
        <v>33000000</v>
      </c>
    </row>
    <row r="11" ht="17" customHeight="1">
      <c r="A11" s="8" t="inlineStr">
        <is>
          <t>Aug</t>
        </is>
      </c>
      <c r="B11" s="9" t="n">
        <v>4900000</v>
      </c>
      <c r="C11" s="9" t="n">
        <v>3500000</v>
      </c>
      <c r="D11" s="9" t="n">
        <v>1400000</v>
      </c>
      <c r="E11" s="10" t="n">
        <v>28.6</v>
      </c>
      <c r="F11" s="11" t="n">
        <v>71.40000000000001</v>
      </c>
      <c r="G11" s="9" t="n">
        <v>96078</v>
      </c>
      <c r="H11" s="12" t="n">
        <v>-5.8</v>
      </c>
      <c r="I11" s="12" t="n">
        <v>-6.7</v>
      </c>
      <c r="J11" s="9" t="n">
        <v>37900000</v>
      </c>
    </row>
    <row r="12" ht="17" customHeight="1">
      <c r="A12" s="4" t="inlineStr">
        <is>
          <t>Sep</t>
        </is>
      </c>
      <c r="B12" s="5" t="n">
        <v>5600000</v>
      </c>
      <c r="C12" s="5" t="n">
        <v>3900000</v>
      </c>
      <c r="D12" s="5" t="n">
        <v>1700000</v>
      </c>
      <c r="E12" s="6" t="n">
        <v>30.4</v>
      </c>
      <c r="F12" s="7" t="n">
        <v>69.59999999999999</v>
      </c>
      <c r="G12" s="5" t="n">
        <v>107692</v>
      </c>
      <c r="H12" s="6" t="n">
        <v>14.3</v>
      </c>
      <c r="I12" s="6" t="n">
        <v>21.4</v>
      </c>
      <c r="J12" s="5" t="n">
        <v>43500000</v>
      </c>
    </row>
    <row r="13" ht="17" customHeight="1">
      <c r="A13" s="8" t="inlineStr">
        <is>
          <t>Oct</t>
        </is>
      </c>
      <c r="B13" s="9" t="n">
        <v>6100000</v>
      </c>
      <c r="C13" s="9" t="n">
        <v>4200000</v>
      </c>
      <c r="D13" s="9" t="n">
        <v>1900000</v>
      </c>
      <c r="E13" s="10" t="n">
        <v>31.1</v>
      </c>
      <c r="F13" s="11" t="n">
        <v>68.90000000000001</v>
      </c>
      <c r="G13" s="9" t="n">
        <v>117308</v>
      </c>
      <c r="H13" s="10" t="n">
        <v>8.9</v>
      </c>
      <c r="I13" s="10" t="n">
        <v>11.8</v>
      </c>
      <c r="J13" s="9" t="n">
        <v>49600000</v>
      </c>
    </row>
    <row r="14" ht="17" customHeight="1">
      <c r="A14" s="4" t="inlineStr">
        <is>
          <t>Nov</t>
        </is>
      </c>
      <c r="B14" s="5" t="n">
        <v>5800000</v>
      </c>
      <c r="C14" s="5" t="n">
        <v>4000000</v>
      </c>
      <c r="D14" s="5" t="n">
        <v>1800000</v>
      </c>
      <c r="E14" s="6" t="n">
        <v>31</v>
      </c>
      <c r="F14" s="7" t="n">
        <v>69</v>
      </c>
      <c r="G14" s="5" t="n">
        <v>109434</v>
      </c>
      <c r="H14" s="13" t="n">
        <v>-4.9</v>
      </c>
      <c r="I14" s="13" t="n">
        <v>-5.3</v>
      </c>
      <c r="J14" s="5" t="n">
        <v>55400000</v>
      </c>
    </row>
    <row r="15" ht="17" customHeight="1">
      <c r="A15" s="8" t="inlineStr">
        <is>
          <t>Dec</t>
        </is>
      </c>
      <c r="B15" s="9" t="n">
        <v>6500000</v>
      </c>
      <c r="C15" s="9" t="n">
        <v>4400000</v>
      </c>
      <c r="D15" s="9" t="n">
        <v>2100000</v>
      </c>
      <c r="E15" s="10" t="n">
        <v>32.3</v>
      </c>
      <c r="F15" s="11" t="n">
        <v>67.7</v>
      </c>
      <c r="G15" s="9" t="n">
        <v>118182</v>
      </c>
      <c r="H15" s="10" t="n">
        <v>12.1</v>
      </c>
      <c r="I15" s="10" t="n">
        <v>16.7</v>
      </c>
      <c r="J15" s="9" t="n">
        <v>61900000</v>
      </c>
    </row>
    <row r="16" ht="20" customHeight="1">
      <c r="A16" s="14" t="inlineStr">
        <is>
          <t>TOTAL</t>
        </is>
      </c>
      <c r="B16" s="15">
        <f>SUM(B4:B15)</f>
        <v/>
      </c>
      <c r="C16" s="15">
        <f>SUM(C4:C15)</f>
        <v/>
      </c>
      <c r="D16" s="15">
        <f>SUM(D4:D15)</f>
        <v/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2026-07-06T06:48:46Z</dcterms:created>
  <dcterms:modified xsi:type="dcterms:W3CDTF">2026-07-06T06:48:46Z</dcterms:modified>
</cp:coreProperties>
</file>